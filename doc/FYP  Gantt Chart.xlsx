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unibradfordac-my.sharepoint.com/personal/mwejaz_bradford_ac_uk/Documents/FYP Interim Report &amp; Prototype_ Waleed Ejaz/Portfolio/Gantt Chart/"/>
    </mc:Choice>
  </mc:AlternateContent>
  <xr:revisionPtr revIDLastSave="0" documentId="8_{9E4A187B-C5C8-458D-B805-DD97E8870075}" xr6:coauthVersionLast="47" xr6:coauthVersionMax="47" xr10:uidLastSave="{00000000-0000-0000-0000-000000000000}"/>
  <bookViews>
    <workbookView xWindow="-110" yWindow="-110" windowWidth="22780" windowHeight="14540" xr2:uid="{00000000-000D-0000-FFFF-FFFF00000000}"/>
  </bookViews>
  <sheets>
    <sheet name="Project schedule" sheetId="11" r:id="rId1"/>
    <sheet name="About" sheetId="12" r:id="rId2"/>
  </sheets>
  <definedNames>
    <definedName name="Display_Week">'Project schedule'!$O$2</definedName>
    <definedName name="_xlnm.Print_Titles" localSheetId="0">'Project schedule'!$4:$6</definedName>
    <definedName name="Project_Start">'Project schedule'!$O$1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1" l="1"/>
  <c r="D20" i="11" l="1"/>
  <c r="E20" i="11" l="1"/>
  <c r="D21" i="11" s="1"/>
  <c r="D22" i="11" s="1"/>
  <c r="D26" i="11"/>
  <c r="D9" i="11"/>
  <c r="F32" i="11"/>
  <c r="F31" i="11"/>
  <c r="F25" i="11"/>
  <c r="F19" i="11"/>
  <c r="F13" i="11"/>
  <c r="F20" i="11" l="1"/>
  <c r="E21" i="11"/>
  <c r="F21" i="11" s="1"/>
  <c r="E26" i="11"/>
  <c r="D27" i="11" s="1"/>
  <c r="D29" i="11"/>
  <c r="D30" i="11"/>
  <c r="F8" i="11"/>
  <c r="E22" i="11"/>
  <c r="D24" i="11"/>
  <c r="E9" i="11"/>
  <c r="D10" i="11" s="1"/>
  <c r="D12" i="11"/>
  <c r="D14" i="11" s="1"/>
  <c r="D15" i="11" s="1"/>
  <c r="E30" i="11" l="1"/>
  <c r="F30" i="11" s="1"/>
  <c r="E27" i="11"/>
  <c r="D28" i="11" s="1"/>
  <c r="E29" i="11"/>
  <c r="F29" i="11" s="1"/>
  <c r="F26" i="11"/>
  <c r="E24" i="11"/>
  <c r="F24" i="11" s="1"/>
  <c r="F9" i="11"/>
  <c r="D23" i="11"/>
  <c r="F22" i="11"/>
  <c r="E15" i="11"/>
  <c r="E14" i="11"/>
  <c r="F14" i="11" s="1"/>
  <c r="E12" i="11"/>
  <c r="F12" i="11" s="1"/>
  <c r="E10" i="11"/>
  <c r="D11" i="11" s="1"/>
  <c r="F27" i="11" l="1"/>
  <c r="E28" i="11"/>
  <c r="F28" i="11" s="1"/>
  <c r="E23" i="11"/>
  <c r="F23" i="11" s="1"/>
  <c r="F15" i="11"/>
  <c r="D16" i="11"/>
  <c r="D17" i="11" s="1"/>
  <c r="D18" i="11" s="1"/>
  <c r="F10" i="11"/>
  <c r="E11" i="11"/>
  <c r="F11" i="11" s="1"/>
  <c r="E18" i="11" l="1"/>
  <c r="F18" i="11" s="1"/>
  <c r="E17" i="11"/>
  <c r="F17" i="11" s="1"/>
  <c r="E16" i="11"/>
  <c r="F16" i="11" s="1"/>
  <c r="AP5" i="11" l="1"/>
  <c r="AQ5" i="11" s="1"/>
  <c r="AR5" i="11" l="1"/>
  <c r="AQ6" i="11"/>
  <c r="AP4" i="11"/>
  <c r="AS5" i="11" l="1"/>
  <c r="AR6" i="11"/>
  <c r="AT5" i="11" l="1"/>
  <c r="AS6" i="11"/>
  <c r="O6" i="11"/>
  <c r="AU5" i="11" l="1"/>
  <c r="AT6" i="11"/>
  <c r="AV5" i="11" l="1"/>
  <c r="AW5" i="11" s="1"/>
  <c r="AU6" i="11"/>
  <c r="Q6" i="11"/>
  <c r="AW6" i="11" l="1"/>
  <c r="AX5" i="11"/>
  <c r="AW4" i="11"/>
  <c r="AV6" i="11"/>
  <c r="AY5" i="11" l="1"/>
  <c r="AX6" i="11"/>
  <c r="S6" i="11"/>
  <c r="AY6" i="11" l="1"/>
  <c r="AZ5" i="11"/>
  <c r="AZ6" i="11" l="1"/>
  <c r="BA5" i="11"/>
  <c r="U6" i="11"/>
  <c r="BA6" i="11" l="1"/>
  <c r="BB5" i="11"/>
  <c r="BC5" i="11" l="1"/>
  <c r="BB6" i="11"/>
  <c r="W6" i="11"/>
  <c r="BC6" i="11" l="1"/>
  <c r="BD5" i="11"/>
  <c r="BD6" i="11" l="1"/>
  <c r="BE5" i="11"/>
  <c r="BD4" i="11"/>
  <c r="Y6" i="11"/>
  <c r="BE6" i="11" l="1"/>
  <c r="BF5" i="11"/>
  <c r="BG5" i="11" l="1"/>
  <c r="BF6" i="11"/>
  <c r="AA6" i="11"/>
  <c r="BH5" i="11" l="1"/>
  <c r="BG6" i="11"/>
  <c r="AB6" i="11"/>
  <c r="BI5" i="11" l="1"/>
  <c r="BH6" i="11"/>
  <c r="AC6" i="11"/>
  <c r="BJ5" i="11" l="1"/>
  <c r="BI6" i="11"/>
  <c r="AD6" i="11"/>
  <c r="BJ6" i="11" l="1"/>
  <c r="AE6" i="11"/>
  <c r="AF6" i="11" l="1"/>
  <c r="AG6" i="11" l="1"/>
  <c r="AH6" i="11" l="1"/>
  <c r="AI6" i="11" l="1"/>
  <c r="AJ6" i="11" l="1"/>
  <c r="AK6" i="11" l="1"/>
  <c r="AL6" i="11" l="1"/>
  <c r="AM6" i="11" l="1"/>
  <c r="AN6" i="11" l="1"/>
  <c r="AO6" i="11" l="1"/>
  <c r="AP6" i="11" l="1"/>
</calcChain>
</file>

<file path=xl/sharedStrings.xml><?xml version="1.0" encoding="utf-8"?>
<sst xmlns="http://schemas.openxmlformats.org/spreadsheetml/2006/main" count="46" uniqueCount="45">
  <si>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</si>
  <si>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</si>
  <si>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</si>
  <si>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</si>
  <si>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</si>
  <si>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</si>
  <si>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</si>
  <si>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</si>
  <si>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</si>
  <si>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</si>
  <si>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</si>
  <si>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</si>
  <si>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</si>
  <si>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</si>
  <si>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</si>
  <si>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</si>
  <si>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</si>
  <si>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</si>
  <si>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</si>
  <si>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</si>
  <si>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Conduct studies</t>
  </si>
  <si>
    <t>Establish comms</t>
  </si>
  <si>
    <t>Develop charter</t>
  </si>
  <si>
    <t>Set up team</t>
  </si>
  <si>
    <t>Planning and design</t>
  </si>
  <si>
    <t>Create schedule</t>
  </si>
  <si>
    <t>Identify deliverables</t>
  </si>
  <si>
    <t>Develop budget</t>
  </si>
  <si>
    <t>Define scope</t>
  </si>
  <si>
    <t>Identify risks</t>
  </si>
  <si>
    <t>Execution</t>
  </si>
  <si>
    <t>Execute tasks</t>
  </si>
  <si>
    <t>Monitor progress</t>
  </si>
  <si>
    <t>Manage resources</t>
  </si>
  <si>
    <t>Provide updates</t>
  </si>
  <si>
    <t>Testing and validation</t>
  </si>
  <si>
    <t>Track expenses</t>
  </si>
  <si>
    <t>Evaluate progress</t>
  </si>
  <si>
    <t>Address risks</t>
  </si>
  <si>
    <t>Gather feedback</t>
  </si>
  <si>
    <t>Display week:</t>
  </si>
  <si>
    <t>Evaluation</t>
  </si>
  <si>
    <t>WEEKS</t>
  </si>
  <si>
    <t>Project initiation, environment setup, project plan, ethics draft</t>
  </si>
  <si>
    <t>AI- Face Recognition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</si>
</sst>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20"/>
      <color theme="1"/>
      <name val="Arial"/>
      <family val="2"/>
      <scheme val="minor"/>
    </font>
    <font>
      <sz val="9"/>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FF00"/>
        <bgColor indexed="64"/>
      </patternFill>
    </fill>
  </fills>
  <borders count="3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tint="0.499984740745262"/>
      </left>
      <right style="thin">
        <color theme="1" tint="0.499984740745262"/>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1" tint="0.499984740745262"/>
      </right>
      <top style="thin">
        <color indexed="64"/>
      </top>
      <bottom/>
      <diagonal/>
    </border>
    <border>
      <left/>
      <right/>
      <top style="thin">
        <color indexed="64"/>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right/>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1">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12" fillId="0" borderId="0" xfId="0" applyFont="1"/>
    <xf numFmtId="0" fontId="12" fillId="0" borderId="0" xfId="0" applyFont="1" applyAlignment="1">
      <alignment horizontal="center"/>
    </xf>
    <xf numFmtId="0" fontId="13" fillId="0" borderId="0" xfId="0" applyFont="1"/>
    <xf numFmtId="0" fontId="4" fillId="0" borderId="0" xfId="0" applyFont="1"/>
    <xf numFmtId="167" fontId="17" fillId="11" borderId="18" xfId="0" applyNumberFormat="1" applyFont="1" applyFill="1" applyBorder="1" applyAlignment="1">
      <alignment horizontal="center" vertical="center"/>
    </xf>
    <xf numFmtId="167" fontId="17" fillId="11" borderId="16" xfId="0" applyNumberFormat="1" applyFont="1" applyFill="1" applyBorder="1" applyAlignment="1">
      <alignment horizontal="center" vertical="center"/>
    </xf>
    <xf numFmtId="167" fontId="17" fillId="11" borderId="17" xfId="0" applyNumberFormat="1" applyFont="1" applyFill="1" applyBorder="1" applyAlignment="1">
      <alignment horizontal="center" vertical="center"/>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4" fillId="0" borderId="3" xfId="0" applyFont="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6" borderId="0" xfId="0" applyFont="1" applyFill="1" applyAlignment="1">
      <alignment horizontal="left" vertical="center" indent="1"/>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15" fillId="4" borderId="5" xfId="12" applyFont="1" applyFill="1" applyBorder="1">
      <alignment horizontal="left" vertical="center" indent="2"/>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7" borderId="0" xfId="0" applyFont="1" applyFill="1" applyAlignment="1">
      <alignment horizontal="left" vertical="center" indent="1"/>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8" borderId="0" xfId="0" applyFont="1" applyFill="1" applyAlignment="1">
      <alignment horizontal="left" vertical="center" indent="1"/>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5" fillId="9" borderId="9" xfId="12" applyFont="1" applyFill="1" applyBorder="1">
      <alignment horizontal="left" vertical="center" indent="2"/>
    </xf>
    <xf numFmtId="9" fontId="1" fillId="9" borderId="9" xfId="2" applyFont="1" applyFill="1" applyBorder="1" applyAlignment="1">
      <alignment horizontal="center" vertical="center"/>
    </xf>
    <xf numFmtId="164" fontId="15" fillId="9" borderId="9" xfId="10" applyFont="1" applyFill="1" applyBorder="1">
      <alignment horizontal="center" vertical="center"/>
    </xf>
    <xf numFmtId="0" fontId="15" fillId="0" borderId="0" xfId="12" applyFont="1" applyBorder="1">
      <alignment horizontal="left" vertical="center" indent="2"/>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11" fillId="0" borderId="0" xfId="3" applyAlignment="1">
      <alignment wrapText="1"/>
    </xf>
    <xf numFmtId="0" fontId="23" fillId="0" borderId="0" xfId="0" applyFont="1" applyAlignment="1">
      <alignment horizontal="left"/>
    </xf>
    <xf numFmtId="0" fontId="24" fillId="0" borderId="0" xfId="0" applyFont="1"/>
    <xf numFmtId="0" fontId="22" fillId="0" borderId="0" xfId="8" applyFont="1" applyAlignment="1">
      <alignment horizontal="left"/>
    </xf>
    <xf numFmtId="0" fontId="4" fillId="0" borderId="0" xfId="0" applyFont="1"/>
    <xf numFmtId="166" fontId="15" fillId="2" borderId="13" xfId="0" applyNumberFormat="1" applyFont="1" applyFill="1" applyBorder="1" applyAlignment="1">
      <alignment horizontal="center" vertical="center" wrapText="1"/>
    </xf>
    <xf numFmtId="166" fontId="15" fillId="2" borderId="17" xfId="0" applyNumberFormat="1" applyFont="1" applyFill="1" applyBorder="1" applyAlignment="1">
      <alignment horizontal="center" vertical="center" wrapText="1"/>
    </xf>
    <xf numFmtId="166" fontId="15" fillId="2" borderId="16" xfId="0" applyNumberFormat="1" applyFont="1" applyFill="1" applyBorder="1" applyAlignment="1">
      <alignment horizontal="center" vertical="center" wrapText="1"/>
    </xf>
    <xf numFmtId="0" fontId="4" fillId="0" borderId="10" xfId="0" applyFont="1" applyBorder="1" applyAlignment="1">
      <alignment horizontal="center" vertical="center"/>
    </xf>
    <xf numFmtId="0" fontId="18" fillId="2" borderId="19" xfId="0" applyFont="1" applyFill="1" applyBorder="1" applyAlignment="1">
      <alignment horizontal="center" vertical="center" shrinkToFit="1"/>
    </xf>
    <xf numFmtId="0" fontId="18" fillId="2" borderId="20" xfId="0" applyFont="1" applyFill="1" applyBorder="1" applyAlignment="1">
      <alignment horizontal="center" vertical="center" shrinkToFit="1"/>
    </xf>
    <xf numFmtId="0" fontId="18" fillId="2" borderId="21" xfId="0" applyFont="1" applyFill="1" applyBorder="1" applyAlignment="1">
      <alignment horizontal="center" vertical="center" shrinkToFit="1"/>
    </xf>
    <xf numFmtId="166" fontId="28" fillId="2" borderId="19"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0" fontId="18" fillId="2" borderId="22" xfId="0" applyFont="1" applyFill="1" applyBorder="1" applyAlignment="1">
      <alignment horizontal="center" vertical="center" shrinkToFit="1"/>
    </xf>
    <xf numFmtId="0" fontId="18" fillId="2" borderId="23" xfId="0" applyFont="1" applyFill="1" applyBorder="1" applyAlignment="1">
      <alignment horizontal="center" vertical="center" shrinkToFit="1"/>
    </xf>
    <xf numFmtId="0" fontId="18" fillId="2" borderId="24" xfId="0" applyFont="1" applyFill="1" applyBorder="1" applyAlignment="1">
      <alignment horizontal="center" vertical="center" shrinkToFit="1"/>
    </xf>
    <xf numFmtId="0" fontId="18" fillId="2" borderId="25" xfId="0" applyFont="1" applyFill="1" applyBorder="1" applyAlignment="1">
      <alignment horizontal="center" vertical="center" shrinkToFit="1"/>
    </xf>
    <xf numFmtId="0" fontId="4" fillId="0" borderId="26" xfId="0" applyFont="1" applyBorder="1" applyAlignment="1">
      <alignment horizontal="center" vertical="center"/>
    </xf>
    <xf numFmtId="0" fontId="4" fillId="12" borderId="19" xfId="0" applyFont="1" applyFill="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12" borderId="27" xfId="0" applyFont="1" applyFill="1" applyBorder="1" applyAlignment="1">
      <alignment horizontal="center" vertical="center"/>
    </xf>
    <xf numFmtId="0" fontId="4" fillId="12" borderId="28" xfId="0" applyFont="1" applyFill="1" applyBorder="1" applyAlignment="1">
      <alignment horizontal="center" vertical="center"/>
    </xf>
    <xf numFmtId="0" fontId="29" fillId="0" borderId="19" xfId="0" applyFont="1" applyBorder="1" applyAlignment="1">
      <alignment vertical="center" wrapText="1"/>
    </xf>
    <xf numFmtId="0" fontId="16" fillId="10" borderId="19" xfId="0" applyFont="1" applyFill="1" applyBorder="1" applyAlignment="1">
      <alignment horizontal="left" vertical="center" indent="1"/>
    </xf>
    <xf numFmtId="0" fontId="4" fillId="2" borderId="19" xfId="0" applyFont="1" applyFill="1" applyBorder="1" applyAlignment="1">
      <alignment horizontal="left" indent="1"/>
    </xf>
    <xf numFmtId="0" fontId="16" fillId="10" borderId="19" xfId="0" applyFont="1" applyFill="1" applyBorder="1" applyAlignment="1">
      <alignment horizontal="center" vertical="center"/>
    </xf>
    <xf numFmtId="0" fontId="4" fillId="2" borderId="19" xfId="0" applyFont="1" applyFill="1" applyBorder="1"/>
    <xf numFmtId="9" fontId="1" fillId="3" borderId="19" xfId="2" applyFont="1" applyFill="1" applyBorder="1" applyAlignment="1">
      <alignment horizontal="center" vertical="center"/>
    </xf>
    <xf numFmtId="164" fontId="15" fillId="3" borderId="19" xfId="10" applyFont="1" applyFill="1" applyBorder="1">
      <alignment horizontal="center" vertical="center"/>
    </xf>
    <xf numFmtId="0" fontId="15" fillId="3" borderId="19" xfId="12" applyFont="1" applyFill="1" applyBorder="1">
      <alignment horizontal="left" vertical="center" indent="2"/>
    </xf>
    <xf numFmtId="165" fontId="23" fillId="0" borderId="0" xfId="9" applyFont="1" applyBorder="1" applyAlignment="1"/>
    <xf numFmtId="0" fontId="24" fillId="0" borderId="0" xfId="0" applyFont="1" applyAlignment="1"/>
    <xf numFmtId="0" fontId="25" fillId="0" borderId="0" xfId="5" applyFont="1" applyAlignment="1">
      <alignment horizontal="center"/>
    </xf>
    <xf numFmtId="0" fontId="14" fillId="0" borderId="0" xfId="0" applyFont="1" applyAlignment="1">
      <alignment horizontal="center"/>
    </xf>
    <xf numFmtId="0" fontId="14" fillId="0" borderId="29" xfId="0" applyFont="1" applyBorder="1" applyAlignment="1">
      <alignment horizont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34"/>
  <sheetViews>
    <sheetView showGridLines="0" tabSelected="1" showRuler="0" zoomScaleNormal="100" zoomScalePageLayoutView="70" workbookViewId="0">
      <selection activeCell="B5" sqref="B5:B6"/>
    </sheetView>
  </sheetViews>
  <sheetFormatPr defaultColWidth="8.6640625" defaultRowHeight="30" customHeight="1" x14ac:dyDescent="0.3"/>
  <cols>
    <col min="1" max="1" width="2.6640625" style="11" customWidth="1"/>
    <col min="2" max="2" width="22.6640625" customWidth="1"/>
    <col min="3" max="3" width="10.6640625" customWidth="1"/>
    <col min="4" max="4" width="10.6640625" style="2" customWidth="1"/>
    <col min="5" max="5" width="10.6640625" customWidth="1"/>
    <col min="6" max="6" width="6" hidden="1" customWidth="1"/>
    <col min="7" max="63" width="2.6640625" customWidth="1"/>
  </cols>
  <sheetData>
    <row r="1" spans="1:62" ht="90" customHeight="1" x14ac:dyDescent="1.7">
      <c r="A1" s="12"/>
      <c r="B1" s="108" t="s">
        <v>44</v>
      </c>
      <c r="C1" s="108"/>
      <c r="D1" s="108"/>
      <c r="E1" s="108"/>
      <c r="F1" s="108"/>
      <c r="G1" s="108"/>
      <c r="H1" s="108"/>
      <c r="I1" s="108"/>
      <c r="J1" s="108"/>
      <c r="K1" s="108"/>
      <c r="L1" s="108"/>
      <c r="M1" s="108"/>
      <c r="N1" s="108"/>
      <c r="O1" s="106"/>
      <c r="P1" s="107"/>
      <c r="Q1" s="107"/>
      <c r="R1" s="107"/>
      <c r="S1" s="107"/>
      <c r="T1" s="107"/>
      <c r="U1" s="107"/>
      <c r="V1" s="107"/>
      <c r="W1" s="107"/>
      <c r="X1" s="107"/>
    </row>
    <row r="2" spans="1:62" ht="30" customHeight="1" x14ac:dyDescent="0.7">
      <c r="B2" s="66"/>
      <c r="C2" s="14"/>
      <c r="D2" s="15"/>
      <c r="E2" s="14"/>
      <c r="G2" s="77" t="s">
        <v>40</v>
      </c>
      <c r="H2" s="78"/>
      <c r="I2" s="78"/>
      <c r="J2" s="78"/>
      <c r="K2" s="78"/>
      <c r="L2" s="78"/>
      <c r="M2" s="78"/>
      <c r="N2" s="16"/>
      <c r="O2" s="75">
        <v>1</v>
      </c>
      <c r="P2" s="76"/>
      <c r="Q2" s="76"/>
      <c r="R2" s="76"/>
      <c r="S2" s="76"/>
      <c r="T2" s="76"/>
      <c r="U2" s="76"/>
      <c r="V2" s="76"/>
      <c r="W2" s="76"/>
      <c r="X2" s="76"/>
    </row>
    <row r="3" spans="1:62" s="17" customFormat="1" ht="30" customHeight="1" x14ac:dyDescent="0.3">
      <c r="A3" s="11"/>
      <c r="B3" s="109"/>
      <c r="C3" s="109"/>
      <c r="D3" s="109"/>
      <c r="E3" s="109"/>
    </row>
    <row r="4" spans="1:62" s="17" customFormat="1" ht="30" customHeight="1" x14ac:dyDescent="0.3">
      <c r="A4" s="12"/>
      <c r="B4" s="110"/>
      <c r="C4" s="110"/>
      <c r="D4" s="110"/>
      <c r="E4" s="110"/>
      <c r="G4" s="86" t="s">
        <v>42</v>
      </c>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1">
        <f>AP5</f>
        <v>1</v>
      </c>
      <c r="AQ4" s="79"/>
      <c r="AR4" s="79"/>
      <c r="AS4" s="79"/>
      <c r="AT4" s="79"/>
      <c r="AU4" s="79"/>
      <c r="AV4" s="79"/>
      <c r="AW4" s="79">
        <f>AW5</f>
        <v>8</v>
      </c>
      <c r="AX4" s="79"/>
      <c r="AY4" s="79"/>
      <c r="AZ4" s="79"/>
      <c r="BA4" s="79"/>
      <c r="BB4" s="79"/>
      <c r="BC4" s="79"/>
      <c r="BD4" s="79">
        <f>BD5</f>
        <v>15</v>
      </c>
      <c r="BE4" s="79"/>
      <c r="BF4" s="79"/>
      <c r="BG4" s="79"/>
      <c r="BH4" s="79"/>
      <c r="BI4" s="79"/>
      <c r="BJ4" s="80"/>
    </row>
    <row r="5" spans="1:62" s="17" customFormat="1" ht="15" customHeight="1" x14ac:dyDescent="0.3">
      <c r="A5" s="74"/>
      <c r="B5" s="99" t="s">
        <v>5</v>
      </c>
      <c r="C5" s="101" t="s">
        <v>1</v>
      </c>
      <c r="D5" s="101" t="s">
        <v>3</v>
      </c>
      <c r="E5" s="101" t="s">
        <v>4</v>
      </c>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18">
        <f>AO5+1</f>
        <v>1</v>
      </c>
      <c r="AQ5" s="18">
        <f>AP5+1</f>
        <v>2</v>
      </c>
      <c r="AR5" s="18">
        <f t="shared" ref="AR5:AV5" si="0">AQ5+1</f>
        <v>3</v>
      </c>
      <c r="AS5" s="18">
        <f t="shared" si="0"/>
        <v>4</v>
      </c>
      <c r="AT5" s="18">
        <f t="shared" si="0"/>
        <v>5</v>
      </c>
      <c r="AU5" s="18">
        <f t="shared" si="0"/>
        <v>6</v>
      </c>
      <c r="AV5" s="19">
        <f t="shared" si="0"/>
        <v>7</v>
      </c>
      <c r="AW5" s="20">
        <f>AV5+1</f>
        <v>8</v>
      </c>
      <c r="AX5" s="18">
        <f>AW5+1</f>
        <v>9</v>
      </c>
      <c r="AY5" s="18">
        <f t="shared" ref="AY5:BC5" si="1">AX5+1</f>
        <v>10</v>
      </c>
      <c r="AZ5" s="18">
        <f t="shared" si="1"/>
        <v>11</v>
      </c>
      <c r="BA5" s="18">
        <f t="shared" si="1"/>
        <v>12</v>
      </c>
      <c r="BB5" s="18">
        <f t="shared" si="1"/>
        <v>13</v>
      </c>
      <c r="BC5" s="19">
        <f t="shared" si="1"/>
        <v>14</v>
      </c>
      <c r="BD5" s="20">
        <f>BC5+1</f>
        <v>15</v>
      </c>
      <c r="BE5" s="18">
        <f>BD5+1</f>
        <v>16</v>
      </c>
      <c r="BF5" s="18">
        <f t="shared" ref="BF5:BJ5" si="2">BE5+1</f>
        <v>17</v>
      </c>
      <c r="BG5" s="18">
        <f t="shared" si="2"/>
        <v>18</v>
      </c>
      <c r="BH5" s="18">
        <f t="shared" si="2"/>
        <v>19</v>
      </c>
      <c r="BI5" s="18">
        <f t="shared" si="2"/>
        <v>20</v>
      </c>
      <c r="BJ5" s="18">
        <f t="shared" si="2"/>
        <v>21</v>
      </c>
    </row>
    <row r="6" spans="1:62" s="17" customFormat="1" ht="15" customHeight="1" thickBot="1" x14ac:dyDescent="0.35">
      <c r="A6" s="74"/>
      <c r="B6" s="100"/>
      <c r="C6" s="102"/>
      <c r="D6" s="102"/>
      <c r="E6" s="102"/>
      <c r="G6" s="84">
        <v>1</v>
      </c>
      <c r="H6" s="84"/>
      <c r="I6" s="84">
        <v>2</v>
      </c>
      <c r="J6" s="84"/>
      <c r="K6" s="84">
        <v>3</v>
      </c>
      <c r="L6" s="84"/>
      <c r="M6" s="83">
        <v>4</v>
      </c>
      <c r="N6" s="83"/>
      <c r="O6" s="83" t="str">
        <f t="shared" ref="O6:AL6" si="3">LEFT(TEXT(O5,"ddd"),1)</f>
        <v>S</v>
      </c>
      <c r="P6" s="83"/>
      <c r="Q6" s="88" t="str">
        <f t="shared" si="3"/>
        <v>S</v>
      </c>
      <c r="R6" s="89"/>
      <c r="S6" s="83" t="str">
        <f t="shared" si="3"/>
        <v>S</v>
      </c>
      <c r="T6" s="83"/>
      <c r="U6" s="83" t="str">
        <f t="shared" si="3"/>
        <v>S</v>
      </c>
      <c r="V6" s="83"/>
      <c r="W6" s="83" t="str">
        <f t="shared" si="3"/>
        <v>S</v>
      </c>
      <c r="X6" s="83"/>
      <c r="Y6" s="91" t="str">
        <f t="shared" si="3"/>
        <v>S</v>
      </c>
      <c r="Z6" s="90"/>
      <c r="AA6" s="85" t="str">
        <f t="shared" si="3"/>
        <v>S</v>
      </c>
      <c r="AB6" s="85" t="str">
        <f t="shared" si="3"/>
        <v>S</v>
      </c>
      <c r="AC6" s="85" t="str">
        <f t="shared" si="3"/>
        <v>S</v>
      </c>
      <c r="AD6" s="85" t="str">
        <f t="shared" si="3"/>
        <v>S</v>
      </c>
      <c r="AE6" s="85" t="str">
        <f t="shared" si="3"/>
        <v>S</v>
      </c>
      <c r="AF6" s="85" t="str">
        <f t="shared" si="3"/>
        <v>S</v>
      </c>
      <c r="AG6" s="85" t="str">
        <f t="shared" si="3"/>
        <v>S</v>
      </c>
      <c r="AH6" s="85" t="str">
        <f t="shared" si="3"/>
        <v>S</v>
      </c>
      <c r="AI6" s="85" t="str">
        <f t="shared" si="3"/>
        <v>S</v>
      </c>
      <c r="AJ6" s="85" t="str">
        <f t="shared" si="3"/>
        <v>S</v>
      </c>
      <c r="AK6" s="85" t="str">
        <f t="shared" si="3"/>
        <v>S</v>
      </c>
      <c r="AL6" s="85" t="str">
        <f t="shared" si="3"/>
        <v>S</v>
      </c>
      <c r="AM6" s="85" t="str">
        <f t="shared" ref="AM6:BJ6" si="4">LEFT(TEXT(AM5,"ddd"),1)</f>
        <v>S</v>
      </c>
      <c r="AN6" s="85" t="str">
        <f t="shared" si="4"/>
        <v>S</v>
      </c>
      <c r="AO6" s="85" t="str">
        <f t="shared" si="4"/>
        <v>S</v>
      </c>
      <c r="AP6" s="21" t="str">
        <f t="shared" si="4"/>
        <v>S</v>
      </c>
      <c r="AQ6" s="21" t="str">
        <f t="shared" si="4"/>
        <v>M</v>
      </c>
      <c r="AR6" s="21" t="str">
        <f t="shared" si="4"/>
        <v>T</v>
      </c>
      <c r="AS6" s="21" t="str">
        <f t="shared" si="4"/>
        <v>W</v>
      </c>
      <c r="AT6" s="21" t="str">
        <f t="shared" si="4"/>
        <v>T</v>
      </c>
      <c r="AU6" s="21" t="str">
        <f t="shared" si="4"/>
        <v>F</v>
      </c>
      <c r="AV6" s="21" t="str">
        <f t="shared" si="4"/>
        <v>S</v>
      </c>
      <c r="AW6" s="21" t="str">
        <f t="shared" si="4"/>
        <v>S</v>
      </c>
      <c r="AX6" s="21" t="str">
        <f t="shared" si="4"/>
        <v>M</v>
      </c>
      <c r="AY6" s="21" t="str">
        <f t="shared" si="4"/>
        <v>T</v>
      </c>
      <c r="AZ6" s="21" t="str">
        <f t="shared" si="4"/>
        <v>W</v>
      </c>
      <c r="BA6" s="21" t="str">
        <f t="shared" si="4"/>
        <v>T</v>
      </c>
      <c r="BB6" s="21" t="str">
        <f t="shared" si="4"/>
        <v>F</v>
      </c>
      <c r="BC6" s="21" t="str">
        <f t="shared" si="4"/>
        <v>S</v>
      </c>
      <c r="BD6" s="21" t="str">
        <f t="shared" si="4"/>
        <v>S</v>
      </c>
      <c r="BE6" s="21" t="str">
        <f t="shared" si="4"/>
        <v>M</v>
      </c>
      <c r="BF6" s="21" t="str">
        <f t="shared" si="4"/>
        <v>T</v>
      </c>
      <c r="BG6" s="21" t="str">
        <f t="shared" si="4"/>
        <v>W</v>
      </c>
      <c r="BH6" s="21" t="str">
        <f t="shared" si="4"/>
        <v>T</v>
      </c>
      <c r="BI6" s="21" t="str">
        <f t="shared" si="4"/>
        <v>F</v>
      </c>
      <c r="BJ6" s="22" t="str">
        <f t="shared" si="4"/>
        <v>S</v>
      </c>
    </row>
    <row r="7" spans="1:62" s="17" customFormat="1" ht="30" hidden="1" customHeight="1" thickBot="1" x14ac:dyDescent="0.35">
      <c r="A7" s="11" t="s">
        <v>19</v>
      </c>
      <c r="B7" s="23"/>
      <c r="C7" s="23"/>
      <c r="D7" s="23"/>
      <c r="E7" s="23"/>
      <c r="F7" s="17" t="str">
        <f>IF(OR(ISBLANK(task_start),ISBLANK(task_end)),"",task_end-task_start+1)</f>
        <v/>
      </c>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row>
    <row r="8" spans="1:62" s="26" customFormat="1" ht="40" customHeight="1" thickBot="1" x14ac:dyDescent="0.35">
      <c r="A8" s="12"/>
      <c r="B8" s="98" t="s">
        <v>43</v>
      </c>
      <c r="C8" s="103">
        <v>0.25</v>
      </c>
      <c r="D8" s="104">
        <v>45726</v>
      </c>
      <c r="E8" s="104"/>
      <c r="F8" s="3" t="str">
        <f t="shared" ref="F8:F32" si="5">IF(OR(ISBLANK(task_start),ISBLANK(task_end)),"",task_end-task_start+1)</f>
        <v/>
      </c>
      <c r="G8" s="93"/>
      <c r="H8" s="93"/>
      <c r="I8" s="93"/>
      <c r="J8" s="93"/>
      <c r="K8" s="93"/>
      <c r="L8" s="93"/>
      <c r="M8" s="82"/>
      <c r="N8" s="92"/>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row>
    <row r="9" spans="1:62" s="26" customFormat="1" ht="40" customHeight="1" thickBot="1" x14ac:dyDescent="0.35">
      <c r="A9" s="12"/>
      <c r="B9" s="105" t="s">
        <v>20</v>
      </c>
      <c r="C9" s="103">
        <v>0.6</v>
      </c>
      <c r="D9" s="104">
        <f>E8</f>
        <v>0</v>
      </c>
      <c r="E9" s="104">
        <f>D9+2</f>
        <v>2</v>
      </c>
      <c r="F9" s="3">
        <f t="shared" si="5"/>
        <v>3</v>
      </c>
      <c r="G9" s="94"/>
      <c r="H9" s="95"/>
      <c r="I9" s="96"/>
      <c r="J9" s="97"/>
      <c r="K9" s="94"/>
      <c r="L9" s="95"/>
      <c r="M9" s="30"/>
      <c r="N9" s="30"/>
      <c r="O9" s="30"/>
      <c r="P9" s="30"/>
      <c r="Q9" s="30"/>
      <c r="R9" s="30"/>
      <c r="S9" s="34"/>
      <c r="T9" s="34"/>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row>
    <row r="10" spans="1:62" s="26" customFormat="1" ht="40" customHeight="1" thickBot="1" x14ac:dyDescent="0.35">
      <c r="A10" s="11"/>
      <c r="B10" s="27" t="s">
        <v>21</v>
      </c>
      <c r="C10" s="28">
        <v>0.5</v>
      </c>
      <c r="D10" s="29">
        <f>E9</f>
        <v>2</v>
      </c>
      <c r="E10" s="29">
        <f>D10+4</f>
        <v>6</v>
      </c>
      <c r="F10" s="3">
        <f t="shared" si="5"/>
        <v>5</v>
      </c>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row>
    <row r="11" spans="1:62" s="26" customFormat="1" ht="40" customHeight="1" thickBot="1" x14ac:dyDescent="0.35">
      <c r="A11" s="11"/>
      <c r="B11" s="31" t="s">
        <v>22</v>
      </c>
      <c r="C11" s="32">
        <v>0.25</v>
      </c>
      <c r="D11" s="33">
        <f>E10</f>
        <v>6</v>
      </c>
      <c r="E11" s="33">
        <f>D11+5</f>
        <v>11</v>
      </c>
      <c r="F11" s="3">
        <f t="shared" si="5"/>
        <v>6</v>
      </c>
      <c r="G11" s="30"/>
      <c r="H11" s="30"/>
      <c r="I11" s="30"/>
      <c r="J11" s="30"/>
      <c r="K11" s="30"/>
      <c r="L11" s="30"/>
      <c r="M11" s="30"/>
      <c r="N11" s="30"/>
      <c r="O11" s="30"/>
      <c r="P11" s="30"/>
      <c r="Q11" s="30"/>
      <c r="R11" s="30"/>
      <c r="S11" s="30"/>
      <c r="T11" s="30"/>
      <c r="U11" s="30"/>
      <c r="V11" s="30"/>
      <c r="W11" s="34"/>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row>
    <row r="12" spans="1:62" s="26" customFormat="1" ht="40" customHeight="1" thickBot="1" x14ac:dyDescent="0.35">
      <c r="A12" s="11"/>
      <c r="B12" s="31" t="s">
        <v>23</v>
      </c>
      <c r="C12" s="32"/>
      <c r="D12" s="33">
        <f>D9+1</f>
        <v>1</v>
      </c>
      <c r="E12" s="33">
        <f>D12+2</f>
        <v>3</v>
      </c>
      <c r="F12" s="3">
        <f t="shared" si="5"/>
        <v>3</v>
      </c>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row>
    <row r="13" spans="1:62" s="26" customFormat="1" ht="40" customHeight="1" thickBot="1" x14ac:dyDescent="0.35">
      <c r="A13" s="12"/>
      <c r="B13" s="35" t="s">
        <v>24</v>
      </c>
      <c r="C13" s="36"/>
      <c r="D13" s="37"/>
      <c r="E13" s="38"/>
      <c r="F13" s="3" t="str">
        <f t="shared" si="5"/>
        <v/>
      </c>
    </row>
    <row r="14" spans="1:62" s="26" customFormat="1" ht="40" customHeight="1" thickBot="1" x14ac:dyDescent="0.35">
      <c r="A14" s="12"/>
      <c r="B14" s="39" t="s">
        <v>25</v>
      </c>
      <c r="C14" s="40">
        <v>0.5</v>
      </c>
      <c r="D14" s="41">
        <f>D12+1</f>
        <v>2</v>
      </c>
      <c r="E14" s="41">
        <f>D14+4</f>
        <v>6</v>
      </c>
      <c r="F14" s="3">
        <f t="shared" si="5"/>
        <v>5</v>
      </c>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2" s="26" customFormat="1" ht="40" customHeight="1" thickBot="1" x14ac:dyDescent="0.35">
      <c r="A15" s="11"/>
      <c r="B15" s="39" t="s">
        <v>26</v>
      </c>
      <c r="C15" s="40">
        <v>0.5</v>
      </c>
      <c r="D15" s="41">
        <f>D14+2</f>
        <v>4</v>
      </c>
      <c r="E15" s="41">
        <f>D15+5</f>
        <v>9</v>
      </c>
      <c r="F15" s="3">
        <f t="shared" si="5"/>
        <v>6</v>
      </c>
      <c r="G15" s="30"/>
      <c r="H15" s="30"/>
      <c r="I15" s="30"/>
      <c r="J15" s="30"/>
      <c r="K15" s="30"/>
      <c r="L15" s="30"/>
      <c r="M15" s="30"/>
      <c r="N15" s="30"/>
      <c r="O15" s="30"/>
      <c r="P15" s="30"/>
      <c r="Q15" s="30"/>
      <c r="R15" s="30"/>
      <c r="S15" s="34"/>
      <c r="T15" s="34"/>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2" s="26" customFormat="1" ht="40" customHeight="1" thickBot="1" x14ac:dyDescent="0.35">
      <c r="A16" s="11"/>
      <c r="B16" s="39" t="s">
        <v>27</v>
      </c>
      <c r="C16" s="40"/>
      <c r="D16" s="41">
        <f>E15</f>
        <v>9</v>
      </c>
      <c r="E16" s="41">
        <f>D16+3</f>
        <v>12</v>
      </c>
      <c r="F16" s="3">
        <f t="shared" si="5"/>
        <v>4</v>
      </c>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row>
    <row r="17" spans="1:62" s="26" customFormat="1" ht="40" customHeight="1" thickBot="1" x14ac:dyDescent="0.35">
      <c r="A17" s="11"/>
      <c r="B17" s="39" t="s">
        <v>28</v>
      </c>
      <c r="C17" s="40"/>
      <c r="D17" s="41">
        <f>D16</f>
        <v>9</v>
      </c>
      <c r="E17" s="41">
        <f>D17+2</f>
        <v>11</v>
      </c>
      <c r="F17" s="3">
        <f t="shared" si="5"/>
        <v>3</v>
      </c>
      <c r="G17" s="30"/>
      <c r="H17" s="30"/>
      <c r="I17" s="30"/>
      <c r="J17" s="30"/>
      <c r="K17" s="30"/>
      <c r="L17" s="30"/>
      <c r="M17" s="30"/>
      <c r="N17" s="30"/>
      <c r="O17" s="30"/>
      <c r="P17" s="30"/>
      <c r="Q17" s="30"/>
      <c r="R17" s="30"/>
      <c r="S17" s="30"/>
      <c r="T17" s="30"/>
      <c r="U17" s="30"/>
      <c r="V17" s="30"/>
      <c r="W17" s="34"/>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row>
    <row r="18" spans="1:62" s="26" customFormat="1" ht="40" customHeight="1" thickBot="1" x14ac:dyDescent="0.35">
      <c r="A18" s="11"/>
      <c r="B18" s="39" t="s">
        <v>29</v>
      </c>
      <c r="C18" s="40"/>
      <c r="D18" s="41">
        <f>D17</f>
        <v>9</v>
      </c>
      <c r="E18" s="41">
        <f>D18+3</f>
        <v>12</v>
      </c>
      <c r="F18" s="3">
        <f t="shared" si="5"/>
        <v>4</v>
      </c>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row>
    <row r="19" spans="1:62" s="26" customFormat="1" ht="40" customHeight="1" thickBot="1" x14ac:dyDescent="0.35">
      <c r="A19" s="11"/>
      <c r="B19" s="42" t="s">
        <v>30</v>
      </c>
      <c r="C19" s="43"/>
      <c r="D19" s="44"/>
      <c r="E19" s="45"/>
      <c r="F19" s="3" t="str">
        <f t="shared" si="5"/>
        <v/>
      </c>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row>
    <row r="20" spans="1:62" s="26" customFormat="1" ht="40" customHeight="1" thickBot="1" x14ac:dyDescent="0.35">
      <c r="A20" s="11"/>
      <c r="B20" s="47" t="s">
        <v>31</v>
      </c>
      <c r="C20" s="48">
        <v>0.5</v>
      </c>
      <c r="D20" s="49">
        <f>D8+15</f>
        <v>45741</v>
      </c>
      <c r="E20" s="49">
        <f>D20+5</f>
        <v>45746</v>
      </c>
      <c r="F20" s="3">
        <f t="shared" si="5"/>
        <v>6</v>
      </c>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row>
    <row r="21" spans="1:62" s="26" customFormat="1" ht="40" customHeight="1" thickBot="1" x14ac:dyDescent="0.35">
      <c r="A21" s="11"/>
      <c r="B21" s="47" t="s">
        <v>32</v>
      </c>
      <c r="C21" s="48">
        <v>0.6</v>
      </c>
      <c r="D21" s="49">
        <f>E20+1</f>
        <v>45747</v>
      </c>
      <c r="E21" s="49">
        <f>D21+4</f>
        <v>45751</v>
      </c>
      <c r="F21" s="3">
        <f t="shared" si="5"/>
        <v>5</v>
      </c>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row>
    <row r="22" spans="1:62" s="26" customFormat="1" ht="40" customHeight="1" thickBot="1" x14ac:dyDescent="0.35">
      <c r="A22" s="11"/>
      <c r="B22" s="47" t="s">
        <v>33</v>
      </c>
      <c r="C22" s="48">
        <v>0.5</v>
      </c>
      <c r="D22" s="49">
        <f>D21+5</f>
        <v>45752</v>
      </c>
      <c r="E22" s="49">
        <f>D22+5</f>
        <v>45757</v>
      </c>
      <c r="F22" s="3">
        <f t="shared" si="5"/>
        <v>6</v>
      </c>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row>
    <row r="23" spans="1:62" s="26" customFormat="1" ht="40" customHeight="1" thickBot="1" x14ac:dyDescent="0.35">
      <c r="A23" s="11"/>
      <c r="B23" s="47" t="s">
        <v>34</v>
      </c>
      <c r="C23" s="48">
        <v>0.25</v>
      </c>
      <c r="D23" s="49">
        <f>E22+1</f>
        <v>45758</v>
      </c>
      <c r="E23" s="49">
        <f>D23+4</f>
        <v>45762</v>
      </c>
      <c r="F23" s="3">
        <f t="shared" si="5"/>
        <v>5</v>
      </c>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row>
    <row r="24" spans="1:62" s="26" customFormat="1" ht="30" customHeight="1" thickBot="1" x14ac:dyDescent="0.35">
      <c r="A24" s="11"/>
      <c r="B24" s="47" t="s">
        <v>35</v>
      </c>
      <c r="C24" s="48">
        <v>0.25</v>
      </c>
      <c r="D24" s="49">
        <f>D22</f>
        <v>45752</v>
      </c>
      <c r="E24" s="49">
        <f>D24+4</f>
        <v>45756</v>
      </c>
      <c r="F24" s="3">
        <f t="shared" si="5"/>
        <v>5</v>
      </c>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row>
    <row r="25" spans="1:62" s="26" customFormat="1" ht="30" customHeight="1" thickBot="1" x14ac:dyDescent="0.35">
      <c r="A25" s="11"/>
      <c r="B25" s="50" t="s">
        <v>41</v>
      </c>
      <c r="C25" s="51"/>
      <c r="D25" s="52"/>
      <c r="E25" s="53"/>
      <c r="F25" s="3" t="str">
        <f t="shared" si="5"/>
        <v/>
      </c>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row>
    <row r="26" spans="1:62" s="26" customFormat="1" ht="30" customHeight="1" thickBot="1" x14ac:dyDescent="0.35">
      <c r="A26" s="11"/>
      <c r="B26" s="55" t="s">
        <v>32</v>
      </c>
      <c r="C26" s="56">
        <v>0.25</v>
      </c>
      <c r="D26" s="57">
        <f>D20+2</f>
        <v>45743</v>
      </c>
      <c r="E26" s="57">
        <f>D26+3</f>
        <v>45746</v>
      </c>
      <c r="F26" s="3">
        <f t="shared" si="5"/>
        <v>4</v>
      </c>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row>
    <row r="27" spans="1:62" s="26" customFormat="1" ht="30" customHeight="1" thickBot="1" x14ac:dyDescent="0.35">
      <c r="A27" s="11"/>
      <c r="B27" s="55" t="s">
        <v>36</v>
      </c>
      <c r="C27" s="56">
        <v>0.25</v>
      </c>
      <c r="D27" s="57">
        <f>E26</f>
        <v>45746</v>
      </c>
      <c r="E27" s="57">
        <f>D27+4</f>
        <v>45750</v>
      </c>
      <c r="F27" s="3">
        <f t="shared" si="5"/>
        <v>5</v>
      </c>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row>
    <row r="28" spans="1:62" s="26" customFormat="1" ht="30" customHeight="1" thickBot="1" x14ac:dyDescent="0.35">
      <c r="A28" s="11"/>
      <c r="B28" s="55" t="s">
        <v>37</v>
      </c>
      <c r="C28" s="56">
        <v>0.5</v>
      </c>
      <c r="D28" s="57">
        <f>E27+1</f>
        <v>45751</v>
      </c>
      <c r="E28" s="57">
        <f>D28+3</f>
        <v>45754</v>
      </c>
      <c r="F28" s="3">
        <f t="shared" si="5"/>
        <v>4</v>
      </c>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row>
    <row r="29" spans="1:62" s="26" customFormat="1" ht="30" customHeight="1" thickBot="1" x14ac:dyDescent="0.35">
      <c r="A29" s="11"/>
      <c r="B29" s="55" t="s">
        <v>38</v>
      </c>
      <c r="C29" s="56">
        <v>0.6</v>
      </c>
      <c r="D29" s="57">
        <f>D26+5</f>
        <v>45748</v>
      </c>
      <c r="E29" s="57">
        <f>D29+3</f>
        <v>45751</v>
      </c>
      <c r="F29" s="3">
        <f t="shared" si="5"/>
        <v>4</v>
      </c>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row>
    <row r="30" spans="1:62" s="26" customFormat="1" ht="30" customHeight="1" thickBot="1" x14ac:dyDescent="0.35">
      <c r="A30" s="11"/>
      <c r="B30" s="55" t="s">
        <v>39</v>
      </c>
      <c r="C30" s="56">
        <v>0.5</v>
      </c>
      <c r="D30" s="57">
        <f>D26+7</f>
        <v>45750</v>
      </c>
      <c r="E30" s="57">
        <f>D30+5</f>
        <v>45755</v>
      </c>
      <c r="F30" s="3">
        <f t="shared" si="5"/>
        <v>6</v>
      </c>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row>
    <row r="31" spans="1:62" s="26" customFormat="1" ht="30" customHeight="1" thickBot="1" x14ac:dyDescent="0.35">
      <c r="A31" s="11"/>
      <c r="B31" s="58"/>
      <c r="C31" s="59"/>
      <c r="D31" s="60"/>
      <c r="E31" s="60"/>
      <c r="F31" s="3" t="str">
        <f t="shared" si="5"/>
        <v/>
      </c>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row>
    <row r="32" spans="1:62" s="26" customFormat="1" ht="30" customHeight="1" thickBot="1" x14ac:dyDescent="0.35">
      <c r="A32" s="12"/>
      <c r="B32" s="61" t="s">
        <v>0</v>
      </c>
      <c r="C32" s="62"/>
      <c r="D32" s="63"/>
      <c r="E32" s="64"/>
      <c r="F32" s="4" t="str">
        <f t="shared" si="5"/>
        <v/>
      </c>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row>
    <row r="34" spans="5:5" ht="30" customHeight="1" x14ac:dyDescent="0.3">
      <c r="E34" s="13"/>
    </row>
  </sheetData>
  <mergeCells count="30">
    <mergeCell ref="I9:J9"/>
    <mergeCell ref="K9:L9"/>
    <mergeCell ref="G9:H9"/>
    <mergeCell ref="B1:N1"/>
    <mergeCell ref="B3:E4"/>
    <mergeCell ref="I8:J8"/>
    <mergeCell ref="G6:H6"/>
    <mergeCell ref="I6:J6"/>
    <mergeCell ref="K8:L8"/>
    <mergeCell ref="G4:AO5"/>
    <mergeCell ref="K6:L6"/>
    <mergeCell ref="M6:N6"/>
    <mergeCell ref="O6:P6"/>
    <mergeCell ref="Q6:R6"/>
    <mergeCell ref="S6:T6"/>
    <mergeCell ref="U6:V6"/>
    <mergeCell ref="W6:X6"/>
    <mergeCell ref="Y6:Z6"/>
    <mergeCell ref="G8:H8"/>
    <mergeCell ref="M8:N8"/>
    <mergeCell ref="BD4:BJ4"/>
    <mergeCell ref="AP4:AV4"/>
    <mergeCell ref="AW4:BC4"/>
    <mergeCell ref="E5:E6"/>
    <mergeCell ref="O2:X2"/>
    <mergeCell ref="G2:M2"/>
    <mergeCell ref="A5:A6"/>
    <mergeCell ref="B5:B6"/>
    <mergeCell ref="C5:C6"/>
    <mergeCell ref="D5:D6"/>
  </mergeCells>
  <conditionalFormatting sqref="C7:C3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G7:BJ7 I6 K6 G4 AP4:BJ5 G6 M6 O6 Q6 S6 U6 W6 Y6 AA6:BJ6 G10:BJ30 M8 O8:BJ8 G8:G9 K8:K9 M9:BJ9 I8:I9">
    <cfRule type="expression" dxfId="8" priority="1">
      <formula>AND(TODAY()&gt;=G$5, TODAY()&lt;H$5)</formula>
    </cfRule>
  </conditionalFormatting>
  <conditionalFormatting sqref="G10:BJ12 M8 O8:BJ8 G8:G9 K8:K9 M9:BJ9 I8:I9">
    <cfRule type="expression" dxfId="7" priority="6">
      <formula>AND(task_start&lt;=G$5,ROUNDDOWN((task_end-task_start+1)*task_progress,0)+task_start-1&gt;=G$5)</formula>
    </cfRule>
    <cfRule type="expression" dxfId="6" priority="7" stopIfTrue="1">
      <formula>AND(task_end&gt;=G$5,task_start&lt;H$5)</formula>
    </cfRule>
  </conditionalFormatting>
  <conditionalFormatting sqref="G14:BJ18">
    <cfRule type="expression" dxfId="5" priority="4">
      <formula>AND(task_start&lt;=G$5,ROUNDDOWN((task_end-task_start+1)*task_progress,0)+task_start-1&gt;=G$5)</formula>
    </cfRule>
    <cfRule type="expression" dxfId="4" priority="5" stopIfTrue="1">
      <formula>AND(task_end&gt;=G$5,task_start&lt;H$5)</formula>
    </cfRule>
  </conditionalFormatting>
  <conditionalFormatting sqref="G20:BJ24">
    <cfRule type="expression" dxfId="3" priority="2">
      <formula>AND(task_start&lt;=G$5,ROUNDDOWN((task_end-task_start+1)*task_progress,0)+task_start-1&gt;=G$5)</formula>
    </cfRule>
    <cfRule type="expression" dxfId="2" priority="3" stopIfTrue="1">
      <formula>AND(task_end&gt;=G$5,task_start&lt;H$5)</formula>
    </cfRule>
  </conditionalFormatting>
  <conditionalFormatting sqref="G26:BJ30">
    <cfRule type="expression" dxfId="1" priority="36">
      <formula>AND(task_start&lt;=G$5,ROUNDDOWN((task_end-task_start+1)*task_progress,0)+task_start-1&gt;=G$5)</formula>
    </cfRule>
    <cfRule type="expression" dxfId="0" priority="37" stopIfTrue="1">
      <formula>AND(task_end&gt;=G$5,task_start&lt;H$5)</formula>
    </cfRule>
  </conditionalFormatting>
  <dataValidations count="12">
    <dataValidation type="whole" operator="greaterThanOrEqual" allowBlank="1" showInputMessage="1" promptTitle="Display Week" prompt="Changing this number will scroll the Gantt Chart view." sqref="O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8"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9"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2"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E17 E21:E22 D22 E27"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5" customWidth="1"/>
    <col min="2" max="16384" width="9" style="1"/>
  </cols>
  <sheetData>
    <row r="1" spans="1:2" ht="46.5" customHeight="1" x14ac:dyDescent="0.25"/>
    <row r="2" spans="1:2" s="7" customFormat="1" ht="15.5" x14ac:dyDescent="0.3">
      <c r="A2" s="67" t="s">
        <v>8</v>
      </c>
      <c r="B2" s="6"/>
    </row>
    <row r="3" spans="1:2" s="9" customFormat="1" ht="27" customHeight="1" x14ac:dyDescent="0.3">
      <c r="A3" s="68"/>
      <c r="B3" s="10"/>
    </row>
    <row r="4" spans="1:2" s="8" customFormat="1" ht="30.5" x14ac:dyDescent="0.85">
      <c r="A4" s="69" t="s">
        <v>7</v>
      </c>
    </row>
    <row r="5" spans="1:2" ht="74.25" customHeight="1" x14ac:dyDescent="0.25">
      <c r="A5" s="70" t="s">
        <v>15</v>
      </c>
    </row>
    <row r="6" spans="1:2" ht="26.25" customHeight="1" x14ac:dyDescent="0.25">
      <c r="A6" s="69" t="s">
        <v>18</v>
      </c>
    </row>
    <row r="7" spans="1:2" s="5" customFormat="1" ht="205" customHeight="1" x14ac:dyDescent="0.3">
      <c r="A7" s="71" t="s">
        <v>17</v>
      </c>
    </row>
    <row r="8" spans="1:2" s="8" customFormat="1" ht="30.5" x14ac:dyDescent="0.85">
      <c r="A8" s="69" t="s">
        <v>9</v>
      </c>
    </row>
    <row r="9" spans="1:2" ht="42" x14ac:dyDescent="0.25">
      <c r="A9" s="70" t="s">
        <v>16</v>
      </c>
    </row>
    <row r="10" spans="1:2" s="5" customFormat="1" ht="28" customHeight="1" x14ac:dyDescent="0.3">
      <c r="A10" s="72" t="s">
        <v>14</v>
      </c>
    </row>
    <row r="11" spans="1:2" s="8" customFormat="1" ht="30.5" x14ac:dyDescent="0.85">
      <c r="A11" s="69" t="s">
        <v>6</v>
      </c>
    </row>
    <row r="12" spans="1:2" ht="28" x14ac:dyDescent="0.25">
      <c r="A12" s="70" t="s">
        <v>13</v>
      </c>
    </row>
    <row r="13" spans="1:2" s="5" customFormat="1" ht="28" customHeight="1" x14ac:dyDescent="0.3">
      <c r="A13" s="72" t="s">
        <v>2</v>
      </c>
    </row>
    <row r="14" spans="1:2" s="8" customFormat="1" ht="30.5" x14ac:dyDescent="0.85">
      <c r="A14" s="69" t="s">
        <v>10</v>
      </c>
    </row>
    <row r="15" spans="1:2" ht="75" customHeight="1" x14ac:dyDescent="0.25">
      <c r="A15" s="70" t="s">
        <v>11</v>
      </c>
    </row>
    <row r="16" spans="1:2" ht="70" x14ac:dyDescent="0.25">
      <c r="A16" s="70" t="s">
        <v>12</v>
      </c>
    </row>
    <row r="17" spans="1:1" x14ac:dyDescent="0.25">
      <c r="A17" s="73"/>
    </row>
    <row r="18" spans="1:1" x14ac:dyDescent="0.25">
      <c r="A18" s="73"/>
    </row>
    <row r="19" spans="1:1" x14ac:dyDescent="0.25">
      <c r="A19" s="73"/>
    </row>
    <row r="20" spans="1:1" x14ac:dyDescent="0.25">
      <c r="A20" s="73"/>
    </row>
    <row r="21" spans="1:1" x14ac:dyDescent="0.25">
      <c r="A21" s="73"/>
    </row>
    <row r="22" spans="1:1" x14ac:dyDescent="0.25">
      <c r="A22" s="73"/>
    </row>
    <row r="23" spans="1:1" x14ac:dyDescent="0.25">
      <c r="A23" s="73"/>
    </row>
    <row r="24" spans="1:1" x14ac:dyDescent="0.25">
      <c r="A24" s="7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Muhammad Ejaz</dc:creator>
  <dc:description/>
  <cp:lastModifiedBy>Muhammad Ejaz</cp:lastModifiedBy>
  <dcterms:created xsi:type="dcterms:W3CDTF">2022-03-11T22:41:12Z</dcterms:created>
  <dcterms:modified xsi:type="dcterms:W3CDTF">2025-11-09T22:52:04Z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